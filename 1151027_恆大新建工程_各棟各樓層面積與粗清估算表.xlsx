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oogledrive\可樂工程行共用資料夾\1151027 恆大粗清資料\"/>
    </mc:Choice>
  </mc:AlternateContent>
  <xr:revisionPtr revIDLastSave="0" documentId="13_ncr:1_{7F787756-E5BB-47AC-91ED-8C745D556EB0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各戶型樓層面積明細" sheetId="1" r:id="rId1"/>
    <sheet name="全區11棟總清冊" sheetId="2" r:id="rId2"/>
    <sheet name="粗清工程作業評估" sheetId="3" r:id="rId3"/>
  </sheets>
  <calcPr calcId="181029"/>
</workbook>
</file>

<file path=xl/calcChain.xml><?xml version="1.0" encoding="utf-8"?>
<calcChain xmlns="http://schemas.openxmlformats.org/spreadsheetml/2006/main">
  <c r="I15" i="2" l="1"/>
  <c r="H15" i="2"/>
  <c r="G15" i="2"/>
  <c r="F15" i="2"/>
  <c r="E15" i="2"/>
  <c r="D15" i="2"/>
  <c r="C15" i="2"/>
</calcChain>
</file>

<file path=xl/sharedStrings.xml><?xml version="1.0" encoding="utf-8"?>
<sst xmlns="http://schemas.openxmlformats.org/spreadsheetml/2006/main" count="421" uniqueCount="204">
  <si>
    <t>恆大新建工程（A1001）各棟各樓層面積明細與粗清基準表（全區738.51坪・含屋頂爬鷹架工項）</t>
  </si>
  <si>
    <t>戶型分類</t>
  </si>
  <si>
    <t>涵蓋棟別</t>
  </si>
  <si>
    <t>樓層 / 區域</t>
  </si>
  <si>
    <t>圖面計算式 / 說明</t>
  </si>
  <si>
    <t>施作面積 (㎡)</t>
  </si>
  <si>
    <t>折合坪數 (坪)</t>
  </si>
  <si>
    <t>備註 / 粗清作業重點（含鷹架動線）</t>
  </si>
  <si>
    <t>A型戶(A棟)</t>
  </si>
  <si>
    <t>A棟</t>
  </si>
  <si>
    <t>1F 室內地坪</t>
  </si>
  <si>
    <t>4.4*15.675 - 1.825*2.425 = 64.54㎡ (+加計=67.77㎡)</t>
  </si>
  <si>
    <t>客餐廳、廚房、進出動線</t>
  </si>
  <si>
    <t>1F 後院空地</t>
  </si>
  <si>
    <t>4.25 * (4.744 + 5.408) / 2 = 21.57㎡</t>
  </si>
  <si>
    <t>斜角後院、透水磚預定地泥作碎屑</t>
  </si>
  <si>
    <t>2F 樓地板</t>
  </si>
  <si>
    <t>室內 54.23㎡ + 前陽台 5.44㎡ = 59.67㎡</t>
  </si>
  <si>
    <t>主臥、次臥、衛浴、前陽台窗溝</t>
  </si>
  <si>
    <t>3F 樓地板</t>
  </si>
  <si>
    <t>臥室、起居空間、陽台欄杆</t>
  </si>
  <si>
    <t>RF 屋頂平頂 (無樓梯)</t>
  </si>
  <si>
    <t>水箱周邊+露台平頂 = 54.20㎡ (無實體梯需爬鷹架)</t>
  </si>
  <si>
    <t>【高工時】無實體RC梯！需爬鷹架/直梯搬運工具，清理防水層雜物</t>
  </si>
  <si>
    <t>A棟小計</t>
  </si>
  <si>
    <t>A棟合計</t>
  </si>
  <si>
    <t>全棟 (含屋頂+後院)</t>
  </si>
  <si>
    <t>地上3層+RF屋頂(爬鷹架)+1F後院</t>
  </si>
  <si>
    <t>A棟粗清施作總面積 79.53 坪</t>
  </si>
  <si>
    <t>A型戶(B棟)</t>
  </si>
  <si>
    <t>B棟</t>
  </si>
  <si>
    <t>67.77㎡</t>
  </si>
  <si>
    <t>客餐廳、廚房</t>
  </si>
  <si>
    <t>4.25 * (5.430 + 6.066) / 2 = 24.43㎡</t>
  </si>
  <si>
    <t>中段後院、雨水貯集槽上方泥渣</t>
  </si>
  <si>
    <t>59.67㎡</t>
  </si>
  <si>
    <t>主臥、次臥、前陽台</t>
  </si>
  <si>
    <t>臥室、衛浴、前陽台</t>
  </si>
  <si>
    <t>54.20㎡ (無實體梯需爬鷹架)</t>
  </si>
  <si>
    <t>【高工時】無實體RC梯！需走外牆鷹架上屋頂清落水口</t>
  </si>
  <si>
    <t>B棟小計</t>
  </si>
  <si>
    <t>B棟合計</t>
  </si>
  <si>
    <t>B棟粗清施作總面積 80.39 坪</t>
  </si>
  <si>
    <t>A型戶(C棟)</t>
  </si>
  <si>
    <t>C棟</t>
  </si>
  <si>
    <t>4.25 * (6.091 + 6.727) / 2 = 27.24㎡</t>
  </si>
  <si>
    <t>大進深後院、臨圍牆邊角</t>
  </si>
  <si>
    <t>臥室、衛浴、陽台</t>
  </si>
  <si>
    <t>臥室、陽台</t>
  </si>
  <si>
    <t>【高工時】無實體RC梯！爬鷹架/直立人孔清水箱落葉雜物</t>
  </si>
  <si>
    <t>C棟小計</t>
  </si>
  <si>
    <t>C棟合計</t>
  </si>
  <si>
    <t>C棟粗清施作總面積 81.24 坪</t>
  </si>
  <si>
    <t>B型戶(D棟)</t>
  </si>
  <si>
    <t>D棟</t>
  </si>
  <si>
    <t>4.3*10.1 = 43.43㎡ (+加計=50.40㎡)</t>
  </si>
  <si>
    <t>客餐廳、後門出入口</t>
  </si>
  <si>
    <t>4.15 * (3.785 + 3.335) / 2 = 14.77㎡</t>
  </si>
  <si>
    <t>後院斜角空地、泥作碎屑整平</t>
  </si>
  <si>
    <t>室內 43.43㎡ + 前陽台 5.04㎡ = 48.47㎡</t>
  </si>
  <si>
    <t>雙臥室、衛浴、陽台窗溝</t>
  </si>
  <si>
    <t>43.40㎡ (無實體梯需爬鷹架)</t>
  </si>
  <si>
    <t>【高工時】無實體梯！爬鷹架上屋頂清泥渣防堵落水管</t>
  </si>
  <si>
    <t>D棟小計</t>
  </si>
  <si>
    <t>D棟合計</t>
  </si>
  <si>
    <t>D棟粗清施作總面積 62.17 坪</t>
  </si>
  <si>
    <t>B型戶(E棟)</t>
  </si>
  <si>
    <t>E棟</t>
  </si>
  <si>
    <t>50.40㎡</t>
  </si>
  <si>
    <t>4.15 * (3.335 + 2.896) / 2 = 12.93㎡</t>
  </si>
  <si>
    <t>後院空地、落水口清理</t>
  </si>
  <si>
    <t>48.47㎡</t>
  </si>
  <si>
    <t>【高工時】無實體梯！爬鷹架/直梯清理屋頂防水面</t>
  </si>
  <si>
    <t>E棟小計</t>
  </si>
  <si>
    <t>E棟合計</t>
  </si>
  <si>
    <t>E棟粗清施作總面積 61.61 坪</t>
  </si>
  <si>
    <t>B型戶(F棟)</t>
  </si>
  <si>
    <t>F棟</t>
  </si>
  <si>
    <t>4.15 * (2.896 + 2.456) / 2 = 11.11㎡</t>
  </si>
  <si>
    <t>後院空地雜物裝袋</t>
  </si>
  <si>
    <t>【高工時】無實體梯！爬鷹架清屋頂下腳料與淤泥</t>
  </si>
  <si>
    <t>F棟小計</t>
  </si>
  <si>
    <t>F棟合計</t>
  </si>
  <si>
    <t>F棟粗清施作總面積 61.06 坪</t>
  </si>
  <si>
    <t>C型戶(G棟)</t>
  </si>
  <si>
    <t>G棟</t>
  </si>
  <si>
    <t>4.3*10.3 = 44.29㎡ (+加計=50.76㎡)</t>
  </si>
  <si>
    <t>客餐廳、廚房空間</t>
  </si>
  <si>
    <t>4.025 * (2.441 + 2.017) / 2 = 8.97㎡</t>
  </si>
  <si>
    <t>後院空地、草坪預定地泥渣</t>
  </si>
  <si>
    <t>室內 44.29㎡ + 陽台 5.04㎡ = 49.33㎡</t>
  </si>
  <si>
    <t>房間、衛浴間、陽台</t>
  </si>
  <si>
    <t>房間地磚粉塵清除</t>
  </si>
  <si>
    <t>44.20㎡ (無實體梯需爬鷹架)</t>
  </si>
  <si>
    <t>【高工時】無實體梯！爬鷹架清頂樓女兒牆邊角砂石</t>
  </si>
  <si>
    <t>G棟小計</t>
  </si>
  <si>
    <t>G棟合計</t>
  </si>
  <si>
    <t>G棟粗清施作總面積 61.27 坪</t>
  </si>
  <si>
    <t>C型戶(H棟)</t>
  </si>
  <si>
    <t>H棟</t>
  </si>
  <si>
    <t>50.76㎡</t>
  </si>
  <si>
    <t>4.025 * (2.017 + 1.602) / 2 = 7.28㎡</t>
  </si>
  <si>
    <t>後院空地</t>
  </si>
  <si>
    <t>49.33㎡</t>
  </si>
  <si>
    <t>【高工時】無實體梯！爬鷹架上屋頂清運垃圾</t>
  </si>
  <si>
    <t>H棟小計</t>
  </si>
  <si>
    <t>H棟合計</t>
  </si>
  <si>
    <t>H棟粗清施作總面積 60.76 坪</t>
  </si>
  <si>
    <t>C型戶(I棟)</t>
  </si>
  <si>
    <t>I棟</t>
  </si>
  <si>
    <t>4.025 * (1.602 + 0.972) / 2 = 5.18㎡</t>
  </si>
  <si>
    <t>後院窄區空地清除</t>
  </si>
  <si>
    <t>【高工時】無實體梯！爬鷹架清頂樓排水口</t>
  </si>
  <si>
    <t>I棟小計</t>
  </si>
  <si>
    <t>I棟合計</t>
  </si>
  <si>
    <t>I棟粗清施作總面積 60.13 坪</t>
  </si>
  <si>
    <t>C型戶(J棟)</t>
  </si>
  <si>
    <t>J棟</t>
  </si>
  <si>
    <t>4.025 * (0.972 + 0.548) / 2 = 3.06㎡</t>
  </si>
  <si>
    <t>後院斜角尾端空地</t>
  </si>
  <si>
    <t>【高工時】無實體梯！爬鷹架上屋頂清運</t>
  </si>
  <si>
    <t>J棟小計</t>
  </si>
  <si>
    <t>J棟合計</t>
  </si>
  <si>
    <t>J棟粗清施作總面積 59.49 坪</t>
  </si>
  <si>
    <t>D型戶(K棟)</t>
  </si>
  <si>
    <t>K棟</t>
  </si>
  <si>
    <t>5.5*8.5 = 46.75㎡ (+2.0*2.0=50.75㎡)</t>
  </si>
  <si>
    <t>大面寬邊間、側院動線</t>
  </si>
  <si>
    <t>1F 側後空地</t>
  </si>
  <si>
    <t>5.5 * (0.684 + 0.122) / 2 = 2.22㎡</t>
  </si>
  <si>
    <t>邊間轉角圍牆收尾空地</t>
  </si>
  <si>
    <t>室內 50.75㎡ + 陽台 5.04㎡ = 55.79㎡</t>
  </si>
  <si>
    <t>臥室、多面採光窗溝</t>
  </si>
  <si>
    <t>高樓層室內地坪</t>
  </si>
  <si>
    <t>50.70㎡ (無實體梯需爬鷹架)</t>
  </si>
  <si>
    <t>【高工時】無實體梯！邊間大平頂需爬鷹架搬運清運</t>
  </si>
  <si>
    <t>K棟小計</t>
  </si>
  <si>
    <t>K棟合計</t>
  </si>
  <si>
    <t>全棟 (含空地+屋頂)</t>
  </si>
  <si>
    <t>地上3層+RF屋頂(爬鷹架)+1F空地</t>
  </si>
  <si>
    <t>K棟粗清施作總面積 65.10 坪</t>
  </si>
  <si>
    <t>恆大新建工程（A1001）全區 11 棟粗清總面積清冊（含後院空地與RF屋頂平頂）</t>
  </si>
  <si>
    <t>戶別/棟號</t>
  </si>
  <si>
    <t>戶型類別</t>
  </si>
  <si>
    <t>1F 室內(坪)</t>
  </si>
  <si>
    <t>1F 後院空地(坪)</t>
  </si>
  <si>
    <t>2F (含陽台)(坪)</t>
  </si>
  <si>
    <t>3F (含陽台)(坪)</t>
  </si>
  <si>
    <t>RF 屋頂平頂(無梯需爬鷹架)(坪)</t>
  </si>
  <si>
    <t>單棟合計面積(坪)</t>
  </si>
  <si>
    <t>折合平方公尺(㎡)</t>
  </si>
  <si>
    <t>A型戶</t>
  </si>
  <si>
    <t>B型戶</t>
  </si>
  <si>
    <t>C型戶</t>
  </si>
  <si>
    <t>D型戶(邊間)</t>
  </si>
  <si>
    <t>全案總計</t>
  </si>
  <si>
    <t>全區 11 棟</t>
  </si>
  <si>
    <t>可樂工程行 粗清作業項目與估價評估參照表</t>
  </si>
  <si>
    <t>作業分項</t>
  </si>
  <si>
    <t>主要施工內容</t>
  </si>
  <si>
    <t>計量單位</t>
  </si>
  <si>
    <t>參考數量 (全區11棟)</t>
  </si>
  <si>
    <t>工法重點與安全提示（極重要）</t>
  </si>
  <si>
    <t>確認事項</t>
  </si>
  <si>
    <t>室內地坪粗清</t>
  </si>
  <si>
    <t>1F~3F 地面水泥砂漿塊、殘膠除膠、大型泥作廢棄物裝袋搬移、粉塵粗掃吸塵</t>
  </si>
  <si>
    <t>坪</t>
  </si>
  <si>
    <t>約 538.85 坪</t>
  </si>
  <si>
    <t>拋光石英磚/超耐磨地板前置，嚴禁用金屬利器刮損磁磚面</t>
  </si>
  <si>
    <t>保護板是否已鋪設？</t>
  </si>
  <si>
    <t>RF 屋頂平頂粗清 (無樓梯)</t>
  </si>
  <si>
    <t>屋頂落水口防堵清除、水塔周邊下腳料打包、防水層表層砂石泥渣掃除</t>
  </si>
  <si>
    <t>157.68 坪 (全區11棟)</t>
  </si>
  <si>
    <t>【高空作業警告】無實體梯！需走外牆鷹架或直立爬梯進出，重型工具需繩索吊掛，防墜安全第一</t>
  </si>
  <si>
    <t>外牆鷹架何時拆除？是否能趕在拆鷹架前施作？</t>
  </si>
  <si>
    <t>全區11棟後院空地粗清</t>
  </si>
  <si>
    <t>後院斜角圍牆空地泥作砂石雜物清除、地貌整平、配合雨水滲透保水槽清理</t>
  </si>
  <si>
    <t>41.98 坪 (138.76㎡)</t>
  </si>
  <si>
    <t>外牆泥作施工與鷹架拆除後大量殘渣掉落，需人工集中裝袋</t>
  </si>
  <si>
    <t>草坪/透水磚施作前置</t>
  </si>
  <si>
    <t>窗框窗溝清潔</t>
  </si>
  <si>
    <t>各樓層鋁門窗窗框、內外溝槽水泥塊清除、膠帶殘膠去除</t>
  </si>
  <si>
    <t>樘 / 處</t>
  </si>
  <si>
    <t>每戶約12~16樘 (全區約150樘)</t>
  </si>
  <si>
    <t>溝槽需搭配工業吸塵器與專用刮刀，避免刮傷烤漆</t>
  </si>
  <si>
    <t>是否有大片落地窗？</t>
  </si>
  <si>
    <t>陽台/露台清理</t>
  </si>
  <si>
    <t>2F/3F 陽台積水砂石清理、排水孔暢通防堵、女兒牆灰塵清除</t>
  </si>
  <si>
    <t>處</t>
  </si>
  <si>
    <t>每戶2處前陽台 (全區共22處)</t>
  </si>
  <si>
    <t>務必確認落水頭防護網未被水泥泥漿封死</t>
  </si>
  <si>
    <t>頂樓防水層是否完工？</t>
  </si>
  <si>
    <t>樓梯垂直動線 (1F~3F)</t>
  </si>
  <si>
    <t>1F~3F 兩段實體梯泥渣清除、踏立面除膠、梯鼻保護檢視</t>
  </si>
  <si>
    <t>階 / 層</t>
  </si>
  <si>
    <t>每戶約 30~32 階 (全區約 340 階)</t>
  </si>
  <si>
    <t>樓梯是泥作與各工種搬運必經通道，先行清理利於通行安全</t>
  </si>
  <si>
    <t>實體梯僅到3F</t>
  </si>
  <si>
    <t>營建廢棄物清運</t>
  </si>
  <si>
    <t>現場拆除之水泥袋、木料角材、包裝紙箱、廢料清運至指定集中點或車運</t>
  </si>
  <si>
    <t>車 (3.5T/6.5T)</t>
  </si>
  <si>
    <t>依現場堆置量實報實銷 (預估 8~12 車)</t>
  </si>
  <si>
    <t>屋頂廢料若無實體梯，需透過鷹架吊臂或吊桶垂降至地面</t>
  </si>
  <si>
    <t>現場是否有吊車/滑輪吊索？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</si>
</sst>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4"/>
      <color rgb="FF1F497D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2DCDB"/>
        <bgColor rgb="FFF2DCD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37" workbookViewId="0">
      <selection sqref="A1:G1"/>
    </sheetView>
  </sheetViews>
  <sheetFormatPr defaultRowHeight="14.5"/>
  <cols>
    <col min="1" max="1" width="33.59765625" customWidth="1"/>
    <col min="2" max="2" width="12" customWidth="1"/>
    <col min="3" max="3" width="22.5" customWidth="1"/>
    <col min="4" max="4" width="54.796875" customWidth="1"/>
    <col min="5" max="6" width="15" customWidth="1"/>
    <col min="7" max="7" width="61.59765625" customWidth="1"/>
    <col min="8" max="8" width="12" customWidth="1"/>
  </cols>
  <sheetData>
    <row r="1" spans="1:7" ht="18.5">
      <c r="A1" s="16" t="s">
        <v>0</v>
      </c>
      <c r="B1" s="17"/>
      <c r="C1" s="17"/>
      <c r="D1" s="17"/>
      <c r="E1" s="17"/>
      <c r="F1" s="17"/>
      <c r="G1" s="17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3" t="s">
        <v>11</v>
      </c>
      <c r="E4" s="4">
        <v>67.77</v>
      </c>
      <c r="F4" s="4">
        <v>20.5</v>
      </c>
      <c r="G4" s="3" t="s">
        <v>12</v>
      </c>
    </row>
    <row r="5" spans="1:7">
      <c r="A5" s="5" t="s">
        <v>8</v>
      </c>
      <c r="B5" s="5" t="s">
        <v>9</v>
      </c>
      <c r="C5" s="5" t="s">
        <v>13</v>
      </c>
      <c r="D5" s="6" t="s">
        <v>14</v>
      </c>
      <c r="E5" s="7">
        <v>21.57</v>
      </c>
      <c r="F5" s="7">
        <v>6.53</v>
      </c>
      <c r="G5" s="6" t="s">
        <v>15</v>
      </c>
    </row>
    <row r="6" spans="1:7">
      <c r="A6" s="2" t="s">
        <v>8</v>
      </c>
      <c r="B6" s="2" t="s">
        <v>9</v>
      </c>
      <c r="C6" s="2" t="s">
        <v>16</v>
      </c>
      <c r="D6" s="3" t="s">
        <v>17</v>
      </c>
      <c r="E6" s="4">
        <v>59.67</v>
      </c>
      <c r="F6" s="4">
        <v>18.05</v>
      </c>
      <c r="G6" s="3" t="s">
        <v>18</v>
      </c>
    </row>
    <row r="7" spans="1:7">
      <c r="A7" s="2" t="s">
        <v>8</v>
      </c>
      <c r="B7" s="2" t="s">
        <v>9</v>
      </c>
      <c r="C7" s="2" t="s">
        <v>19</v>
      </c>
      <c r="D7" s="3" t="s">
        <v>17</v>
      </c>
      <c r="E7" s="4">
        <v>59.67</v>
      </c>
      <c r="F7" s="4">
        <v>18.05</v>
      </c>
      <c r="G7" s="3" t="s">
        <v>20</v>
      </c>
    </row>
    <row r="8" spans="1:7">
      <c r="A8" s="8" t="s">
        <v>8</v>
      </c>
      <c r="B8" s="8" t="s">
        <v>9</v>
      </c>
      <c r="C8" s="8" t="s">
        <v>21</v>
      </c>
      <c r="D8" s="9" t="s">
        <v>22</v>
      </c>
      <c r="E8" s="10">
        <v>54.2</v>
      </c>
      <c r="F8" s="10">
        <v>16.399999999999999</v>
      </c>
      <c r="G8" s="9" t="s">
        <v>23</v>
      </c>
    </row>
    <row r="9" spans="1:7">
      <c r="A9" s="11" t="s">
        <v>24</v>
      </c>
      <c r="B9" s="11" t="s">
        <v>25</v>
      </c>
      <c r="C9" s="11" t="s">
        <v>26</v>
      </c>
      <c r="D9" s="12" t="s">
        <v>27</v>
      </c>
      <c r="E9" s="13">
        <v>262.88</v>
      </c>
      <c r="F9" s="13">
        <v>79.53</v>
      </c>
      <c r="G9" s="12" t="s">
        <v>28</v>
      </c>
    </row>
    <row r="10" spans="1:7">
      <c r="A10" s="2" t="s">
        <v>29</v>
      </c>
      <c r="B10" s="2" t="s">
        <v>30</v>
      </c>
      <c r="C10" s="2" t="s">
        <v>10</v>
      </c>
      <c r="D10" s="3" t="s">
        <v>31</v>
      </c>
      <c r="E10" s="4">
        <v>67.77</v>
      </c>
      <c r="F10" s="4">
        <v>20.5</v>
      </c>
      <c r="G10" s="3" t="s">
        <v>32</v>
      </c>
    </row>
    <row r="11" spans="1:7">
      <c r="A11" s="5" t="s">
        <v>29</v>
      </c>
      <c r="B11" s="5" t="s">
        <v>30</v>
      </c>
      <c r="C11" s="5" t="s">
        <v>13</v>
      </c>
      <c r="D11" s="6" t="s">
        <v>33</v>
      </c>
      <c r="E11" s="7">
        <v>24.43</v>
      </c>
      <c r="F11" s="7">
        <v>7.39</v>
      </c>
      <c r="G11" s="6" t="s">
        <v>34</v>
      </c>
    </row>
    <row r="12" spans="1:7">
      <c r="A12" s="2" t="s">
        <v>29</v>
      </c>
      <c r="B12" s="2" t="s">
        <v>30</v>
      </c>
      <c r="C12" s="2" t="s">
        <v>16</v>
      </c>
      <c r="D12" s="3" t="s">
        <v>35</v>
      </c>
      <c r="E12" s="4">
        <v>59.67</v>
      </c>
      <c r="F12" s="4">
        <v>18.05</v>
      </c>
      <c r="G12" s="3" t="s">
        <v>36</v>
      </c>
    </row>
    <row r="13" spans="1:7">
      <c r="A13" s="2" t="s">
        <v>29</v>
      </c>
      <c r="B13" s="2" t="s">
        <v>30</v>
      </c>
      <c r="C13" s="2" t="s">
        <v>19</v>
      </c>
      <c r="D13" s="3" t="s">
        <v>35</v>
      </c>
      <c r="E13" s="4">
        <v>59.67</v>
      </c>
      <c r="F13" s="4">
        <v>18.05</v>
      </c>
      <c r="G13" s="3" t="s">
        <v>37</v>
      </c>
    </row>
    <row r="14" spans="1:7">
      <c r="A14" s="8" t="s">
        <v>29</v>
      </c>
      <c r="B14" s="8" t="s">
        <v>30</v>
      </c>
      <c r="C14" s="8" t="s">
        <v>21</v>
      </c>
      <c r="D14" s="9" t="s">
        <v>38</v>
      </c>
      <c r="E14" s="10">
        <v>54.2</v>
      </c>
      <c r="F14" s="10">
        <v>16.399999999999999</v>
      </c>
      <c r="G14" s="9" t="s">
        <v>39</v>
      </c>
    </row>
    <row r="15" spans="1:7">
      <c r="A15" s="11" t="s">
        <v>40</v>
      </c>
      <c r="B15" s="11" t="s">
        <v>41</v>
      </c>
      <c r="C15" s="11" t="s">
        <v>26</v>
      </c>
      <c r="D15" s="12" t="s">
        <v>27</v>
      </c>
      <c r="E15" s="13">
        <v>265.74</v>
      </c>
      <c r="F15" s="13">
        <v>80.39</v>
      </c>
      <c r="G15" s="12" t="s">
        <v>42</v>
      </c>
    </row>
    <row r="16" spans="1:7">
      <c r="A16" s="2" t="s">
        <v>43</v>
      </c>
      <c r="B16" s="2" t="s">
        <v>44</v>
      </c>
      <c r="C16" s="2" t="s">
        <v>10</v>
      </c>
      <c r="D16" s="3" t="s">
        <v>31</v>
      </c>
      <c r="E16" s="4">
        <v>67.77</v>
      </c>
      <c r="F16" s="4">
        <v>20.5</v>
      </c>
      <c r="G16" s="3" t="s">
        <v>32</v>
      </c>
    </row>
    <row r="17" spans="1:7">
      <c r="A17" s="5" t="s">
        <v>43</v>
      </c>
      <c r="B17" s="5" t="s">
        <v>44</v>
      </c>
      <c r="C17" s="5" t="s">
        <v>13</v>
      </c>
      <c r="D17" s="6" t="s">
        <v>45</v>
      </c>
      <c r="E17" s="7">
        <v>27.24</v>
      </c>
      <c r="F17" s="7">
        <v>8.24</v>
      </c>
      <c r="G17" s="6" t="s">
        <v>46</v>
      </c>
    </row>
    <row r="18" spans="1:7">
      <c r="A18" s="2" t="s">
        <v>43</v>
      </c>
      <c r="B18" s="2" t="s">
        <v>44</v>
      </c>
      <c r="C18" s="2" t="s">
        <v>16</v>
      </c>
      <c r="D18" s="3" t="s">
        <v>35</v>
      </c>
      <c r="E18" s="4">
        <v>59.67</v>
      </c>
      <c r="F18" s="4">
        <v>18.05</v>
      </c>
      <c r="G18" s="3" t="s">
        <v>47</v>
      </c>
    </row>
    <row r="19" spans="1:7">
      <c r="A19" s="2" t="s">
        <v>43</v>
      </c>
      <c r="B19" s="2" t="s">
        <v>44</v>
      </c>
      <c r="C19" s="2" t="s">
        <v>19</v>
      </c>
      <c r="D19" s="3" t="s">
        <v>35</v>
      </c>
      <c r="E19" s="4">
        <v>59.67</v>
      </c>
      <c r="F19" s="4">
        <v>18.05</v>
      </c>
      <c r="G19" s="3" t="s">
        <v>48</v>
      </c>
    </row>
    <row r="20" spans="1:7">
      <c r="A20" s="8" t="s">
        <v>43</v>
      </c>
      <c r="B20" s="8" t="s">
        <v>44</v>
      </c>
      <c r="C20" s="8" t="s">
        <v>21</v>
      </c>
      <c r="D20" s="9" t="s">
        <v>38</v>
      </c>
      <c r="E20" s="10">
        <v>54.2</v>
      </c>
      <c r="F20" s="10">
        <v>16.399999999999999</v>
      </c>
      <c r="G20" s="9" t="s">
        <v>49</v>
      </c>
    </row>
    <row r="21" spans="1:7">
      <c r="A21" s="11" t="s">
        <v>50</v>
      </c>
      <c r="B21" s="11" t="s">
        <v>51</v>
      </c>
      <c r="C21" s="11" t="s">
        <v>26</v>
      </c>
      <c r="D21" s="12" t="s">
        <v>27</v>
      </c>
      <c r="E21" s="13">
        <v>268.55</v>
      </c>
      <c r="F21" s="13">
        <v>81.239999999999995</v>
      </c>
      <c r="G21" s="12" t="s">
        <v>52</v>
      </c>
    </row>
    <row r="22" spans="1:7">
      <c r="A22" s="2" t="s">
        <v>53</v>
      </c>
      <c r="B22" s="2" t="s">
        <v>54</v>
      </c>
      <c r="C22" s="2" t="s">
        <v>10</v>
      </c>
      <c r="D22" s="3" t="s">
        <v>55</v>
      </c>
      <c r="E22" s="4">
        <v>50.4</v>
      </c>
      <c r="F22" s="4">
        <v>15.25</v>
      </c>
      <c r="G22" s="3" t="s">
        <v>56</v>
      </c>
    </row>
    <row r="23" spans="1:7">
      <c r="A23" s="5" t="s">
        <v>53</v>
      </c>
      <c r="B23" s="5" t="s">
        <v>54</v>
      </c>
      <c r="C23" s="5" t="s">
        <v>13</v>
      </c>
      <c r="D23" s="6" t="s">
        <v>57</v>
      </c>
      <c r="E23" s="7">
        <v>14.77</v>
      </c>
      <c r="F23" s="7">
        <v>4.47</v>
      </c>
      <c r="G23" s="6" t="s">
        <v>58</v>
      </c>
    </row>
    <row r="24" spans="1:7">
      <c r="A24" s="2" t="s">
        <v>53</v>
      </c>
      <c r="B24" s="2" t="s">
        <v>54</v>
      </c>
      <c r="C24" s="2" t="s">
        <v>16</v>
      </c>
      <c r="D24" s="3" t="s">
        <v>59</v>
      </c>
      <c r="E24" s="4">
        <v>48.47</v>
      </c>
      <c r="F24" s="4">
        <v>14.66</v>
      </c>
      <c r="G24" s="3" t="s">
        <v>60</v>
      </c>
    </row>
    <row r="25" spans="1:7">
      <c r="A25" s="2" t="s">
        <v>53</v>
      </c>
      <c r="B25" s="2" t="s">
        <v>54</v>
      </c>
      <c r="C25" s="2" t="s">
        <v>19</v>
      </c>
      <c r="D25" s="3" t="s">
        <v>59</v>
      </c>
      <c r="E25" s="4">
        <v>48.47</v>
      </c>
      <c r="F25" s="4">
        <v>14.66</v>
      </c>
      <c r="G25" s="3" t="s">
        <v>47</v>
      </c>
    </row>
    <row r="26" spans="1:7">
      <c r="A26" s="8" t="s">
        <v>53</v>
      </c>
      <c r="B26" s="8" t="s">
        <v>54</v>
      </c>
      <c r="C26" s="8" t="s">
        <v>21</v>
      </c>
      <c r="D26" s="9" t="s">
        <v>61</v>
      </c>
      <c r="E26" s="10">
        <v>43.4</v>
      </c>
      <c r="F26" s="10">
        <v>13.13</v>
      </c>
      <c r="G26" s="9" t="s">
        <v>62</v>
      </c>
    </row>
    <row r="27" spans="1:7">
      <c r="A27" s="11" t="s">
        <v>63</v>
      </c>
      <c r="B27" s="11" t="s">
        <v>64</v>
      </c>
      <c r="C27" s="11" t="s">
        <v>26</v>
      </c>
      <c r="D27" s="12" t="s">
        <v>27</v>
      </c>
      <c r="E27" s="13">
        <v>205.51</v>
      </c>
      <c r="F27" s="13">
        <v>62.17</v>
      </c>
      <c r="G27" s="12" t="s">
        <v>65</v>
      </c>
    </row>
    <row r="28" spans="1:7">
      <c r="A28" s="2" t="s">
        <v>66</v>
      </c>
      <c r="B28" s="2" t="s">
        <v>67</v>
      </c>
      <c r="C28" s="2" t="s">
        <v>10</v>
      </c>
      <c r="D28" s="3" t="s">
        <v>68</v>
      </c>
      <c r="E28" s="4">
        <v>50.4</v>
      </c>
      <c r="F28" s="4">
        <v>15.25</v>
      </c>
      <c r="G28" s="3" t="s">
        <v>32</v>
      </c>
    </row>
    <row r="29" spans="1:7">
      <c r="A29" s="5" t="s">
        <v>66</v>
      </c>
      <c r="B29" s="5" t="s">
        <v>67</v>
      </c>
      <c r="C29" s="5" t="s">
        <v>13</v>
      </c>
      <c r="D29" s="6" t="s">
        <v>69</v>
      </c>
      <c r="E29" s="7">
        <v>12.93</v>
      </c>
      <c r="F29" s="7">
        <v>3.91</v>
      </c>
      <c r="G29" s="6" t="s">
        <v>70</v>
      </c>
    </row>
    <row r="30" spans="1:7">
      <c r="A30" s="2" t="s">
        <v>66</v>
      </c>
      <c r="B30" s="2" t="s">
        <v>67</v>
      </c>
      <c r="C30" s="2" t="s">
        <v>16</v>
      </c>
      <c r="D30" s="3" t="s">
        <v>71</v>
      </c>
      <c r="E30" s="4">
        <v>48.47</v>
      </c>
      <c r="F30" s="4">
        <v>14.66</v>
      </c>
      <c r="G30" s="3" t="s">
        <v>47</v>
      </c>
    </row>
    <row r="31" spans="1:7">
      <c r="A31" s="2" t="s">
        <v>66</v>
      </c>
      <c r="B31" s="2" t="s">
        <v>67</v>
      </c>
      <c r="C31" s="2" t="s">
        <v>19</v>
      </c>
      <c r="D31" s="3" t="s">
        <v>71</v>
      </c>
      <c r="E31" s="4">
        <v>48.47</v>
      </c>
      <c r="F31" s="4">
        <v>14.66</v>
      </c>
      <c r="G31" s="3" t="s">
        <v>47</v>
      </c>
    </row>
    <row r="32" spans="1:7">
      <c r="A32" s="8" t="s">
        <v>66</v>
      </c>
      <c r="B32" s="8" t="s">
        <v>67</v>
      </c>
      <c r="C32" s="8" t="s">
        <v>21</v>
      </c>
      <c r="D32" s="9" t="s">
        <v>61</v>
      </c>
      <c r="E32" s="10">
        <v>43.4</v>
      </c>
      <c r="F32" s="10">
        <v>13.13</v>
      </c>
      <c r="G32" s="9" t="s">
        <v>72</v>
      </c>
    </row>
    <row r="33" spans="1:7">
      <c r="A33" s="11" t="s">
        <v>73</v>
      </c>
      <c r="B33" s="11" t="s">
        <v>74</v>
      </c>
      <c r="C33" s="11" t="s">
        <v>26</v>
      </c>
      <c r="D33" s="12" t="s">
        <v>27</v>
      </c>
      <c r="E33" s="13">
        <v>203.67</v>
      </c>
      <c r="F33" s="13">
        <v>61.61</v>
      </c>
      <c r="G33" s="12" t="s">
        <v>75</v>
      </c>
    </row>
    <row r="34" spans="1:7">
      <c r="A34" s="2" t="s">
        <v>76</v>
      </c>
      <c r="B34" s="2" t="s">
        <v>77</v>
      </c>
      <c r="C34" s="2" t="s">
        <v>10</v>
      </c>
      <c r="D34" s="3" t="s">
        <v>68</v>
      </c>
      <c r="E34" s="4">
        <v>50.4</v>
      </c>
      <c r="F34" s="4">
        <v>15.25</v>
      </c>
      <c r="G34" s="3" t="s">
        <v>32</v>
      </c>
    </row>
    <row r="35" spans="1:7">
      <c r="A35" s="5" t="s">
        <v>76</v>
      </c>
      <c r="B35" s="5" t="s">
        <v>77</v>
      </c>
      <c r="C35" s="5" t="s">
        <v>13</v>
      </c>
      <c r="D35" s="6" t="s">
        <v>78</v>
      </c>
      <c r="E35" s="7">
        <v>11.11</v>
      </c>
      <c r="F35" s="7">
        <v>3.36</v>
      </c>
      <c r="G35" s="6" t="s">
        <v>79</v>
      </c>
    </row>
    <row r="36" spans="1:7">
      <c r="A36" s="2" t="s">
        <v>76</v>
      </c>
      <c r="B36" s="2" t="s">
        <v>77</v>
      </c>
      <c r="C36" s="2" t="s">
        <v>16</v>
      </c>
      <c r="D36" s="3" t="s">
        <v>71</v>
      </c>
      <c r="E36" s="4">
        <v>48.47</v>
      </c>
      <c r="F36" s="4">
        <v>14.66</v>
      </c>
      <c r="G36" s="3" t="s">
        <v>47</v>
      </c>
    </row>
    <row r="37" spans="1:7">
      <c r="A37" s="2" t="s">
        <v>76</v>
      </c>
      <c r="B37" s="2" t="s">
        <v>77</v>
      </c>
      <c r="C37" s="2" t="s">
        <v>19</v>
      </c>
      <c r="D37" s="3" t="s">
        <v>71</v>
      </c>
      <c r="E37" s="4">
        <v>48.47</v>
      </c>
      <c r="F37" s="4">
        <v>14.66</v>
      </c>
      <c r="G37" s="3" t="s">
        <v>47</v>
      </c>
    </row>
    <row r="38" spans="1:7">
      <c r="A38" s="8" t="s">
        <v>76</v>
      </c>
      <c r="B38" s="8" t="s">
        <v>77</v>
      </c>
      <c r="C38" s="8" t="s">
        <v>21</v>
      </c>
      <c r="D38" s="9" t="s">
        <v>61</v>
      </c>
      <c r="E38" s="10">
        <v>43.4</v>
      </c>
      <c r="F38" s="10">
        <v>13.13</v>
      </c>
      <c r="G38" s="9" t="s">
        <v>80</v>
      </c>
    </row>
    <row r="39" spans="1:7">
      <c r="A39" s="11" t="s">
        <v>81</v>
      </c>
      <c r="B39" s="11" t="s">
        <v>82</v>
      </c>
      <c r="C39" s="11" t="s">
        <v>26</v>
      </c>
      <c r="D39" s="12" t="s">
        <v>27</v>
      </c>
      <c r="E39" s="13">
        <v>201.85</v>
      </c>
      <c r="F39" s="13">
        <v>61.06</v>
      </c>
      <c r="G39" s="12" t="s">
        <v>83</v>
      </c>
    </row>
    <row r="40" spans="1:7">
      <c r="A40" s="2" t="s">
        <v>84</v>
      </c>
      <c r="B40" s="2" t="s">
        <v>85</v>
      </c>
      <c r="C40" s="2" t="s">
        <v>10</v>
      </c>
      <c r="D40" s="3" t="s">
        <v>86</v>
      </c>
      <c r="E40" s="4">
        <v>50.76</v>
      </c>
      <c r="F40" s="4">
        <v>15.35</v>
      </c>
      <c r="G40" s="3" t="s">
        <v>87</v>
      </c>
    </row>
    <row r="41" spans="1:7">
      <c r="A41" s="5" t="s">
        <v>84</v>
      </c>
      <c r="B41" s="5" t="s">
        <v>85</v>
      </c>
      <c r="C41" s="5" t="s">
        <v>13</v>
      </c>
      <c r="D41" s="6" t="s">
        <v>88</v>
      </c>
      <c r="E41" s="7">
        <v>8.9700000000000006</v>
      </c>
      <c r="F41" s="7">
        <v>2.71</v>
      </c>
      <c r="G41" s="6" t="s">
        <v>89</v>
      </c>
    </row>
    <row r="42" spans="1:7">
      <c r="A42" s="2" t="s">
        <v>84</v>
      </c>
      <c r="B42" s="2" t="s">
        <v>85</v>
      </c>
      <c r="C42" s="2" t="s">
        <v>16</v>
      </c>
      <c r="D42" s="3" t="s">
        <v>90</v>
      </c>
      <c r="E42" s="4">
        <v>49.33</v>
      </c>
      <c r="F42" s="4">
        <v>14.92</v>
      </c>
      <c r="G42" s="3" t="s">
        <v>91</v>
      </c>
    </row>
    <row r="43" spans="1:7">
      <c r="A43" s="2" t="s">
        <v>84</v>
      </c>
      <c r="B43" s="2" t="s">
        <v>85</v>
      </c>
      <c r="C43" s="2" t="s">
        <v>19</v>
      </c>
      <c r="D43" s="3" t="s">
        <v>90</v>
      </c>
      <c r="E43" s="4">
        <v>49.33</v>
      </c>
      <c r="F43" s="4">
        <v>14.92</v>
      </c>
      <c r="G43" s="3" t="s">
        <v>92</v>
      </c>
    </row>
    <row r="44" spans="1:7">
      <c r="A44" s="8" t="s">
        <v>84</v>
      </c>
      <c r="B44" s="8" t="s">
        <v>85</v>
      </c>
      <c r="C44" s="8" t="s">
        <v>21</v>
      </c>
      <c r="D44" s="9" t="s">
        <v>93</v>
      </c>
      <c r="E44" s="10">
        <v>44.2</v>
      </c>
      <c r="F44" s="10">
        <v>13.37</v>
      </c>
      <c r="G44" s="9" t="s">
        <v>94</v>
      </c>
    </row>
    <row r="45" spans="1:7">
      <c r="A45" s="11" t="s">
        <v>95</v>
      </c>
      <c r="B45" s="11" t="s">
        <v>96</v>
      </c>
      <c r="C45" s="11" t="s">
        <v>26</v>
      </c>
      <c r="D45" s="12" t="s">
        <v>27</v>
      </c>
      <c r="E45" s="13">
        <v>202.59</v>
      </c>
      <c r="F45" s="13">
        <v>61.27</v>
      </c>
      <c r="G45" s="12" t="s">
        <v>97</v>
      </c>
    </row>
    <row r="46" spans="1:7">
      <c r="A46" s="2" t="s">
        <v>98</v>
      </c>
      <c r="B46" s="2" t="s">
        <v>99</v>
      </c>
      <c r="C46" s="2" t="s">
        <v>10</v>
      </c>
      <c r="D46" s="3" t="s">
        <v>100</v>
      </c>
      <c r="E46" s="4">
        <v>50.76</v>
      </c>
      <c r="F46" s="4">
        <v>15.35</v>
      </c>
      <c r="G46" s="3" t="s">
        <v>32</v>
      </c>
    </row>
    <row r="47" spans="1:7">
      <c r="A47" s="5" t="s">
        <v>98</v>
      </c>
      <c r="B47" s="5" t="s">
        <v>99</v>
      </c>
      <c r="C47" s="5" t="s">
        <v>13</v>
      </c>
      <c r="D47" s="6" t="s">
        <v>101</v>
      </c>
      <c r="E47" s="7">
        <v>7.28</v>
      </c>
      <c r="F47" s="7">
        <v>2.2000000000000002</v>
      </c>
      <c r="G47" s="6" t="s">
        <v>102</v>
      </c>
    </row>
    <row r="48" spans="1:7">
      <c r="A48" s="2" t="s">
        <v>98</v>
      </c>
      <c r="B48" s="2" t="s">
        <v>99</v>
      </c>
      <c r="C48" s="2" t="s">
        <v>16</v>
      </c>
      <c r="D48" s="3" t="s">
        <v>103</v>
      </c>
      <c r="E48" s="4">
        <v>49.33</v>
      </c>
      <c r="F48" s="4">
        <v>14.92</v>
      </c>
      <c r="G48" s="3" t="s">
        <v>48</v>
      </c>
    </row>
    <row r="49" spans="1:8">
      <c r="A49" s="2" t="s">
        <v>98</v>
      </c>
      <c r="B49" s="2" t="s">
        <v>99</v>
      </c>
      <c r="C49" s="2" t="s">
        <v>19</v>
      </c>
      <c r="D49" s="3" t="s">
        <v>103</v>
      </c>
      <c r="E49" s="4">
        <v>49.33</v>
      </c>
      <c r="F49" s="4">
        <v>14.92</v>
      </c>
      <c r="G49" s="3" t="s">
        <v>48</v>
      </c>
    </row>
    <row r="50" spans="1:8">
      <c r="A50" s="8" t="s">
        <v>98</v>
      </c>
      <c r="B50" s="8" t="s">
        <v>99</v>
      </c>
      <c r="C50" s="8" t="s">
        <v>21</v>
      </c>
      <c r="D50" s="9" t="s">
        <v>93</v>
      </c>
      <c r="E50" s="10">
        <v>44.2</v>
      </c>
      <c r="F50" s="10">
        <v>13.37</v>
      </c>
      <c r="G50" s="9" t="s">
        <v>104</v>
      </c>
    </row>
    <row r="51" spans="1:8">
      <c r="A51" s="11" t="s">
        <v>105</v>
      </c>
      <c r="B51" s="11" t="s">
        <v>106</v>
      </c>
      <c r="C51" s="11" t="s">
        <v>26</v>
      </c>
      <c r="D51" s="12" t="s">
        <v>27</v>
      </c>
      <c r="E51" s="13">
        <v>200.9</v>
      </c>
      <c r="F51" s="13">
        <v>60.76</v>
      </c>
      <c r="G51" s="12" t="s">
        <v>107</v>
      </c>
    </row>
    <row r="52" spans="1:8">
      <c r="A52" s="2" t="s">
        <v>108</v>
      </c>
      <c r="B52" s="2" t="s">
        <v>109</v>
      </c>
      <c r="C52" s="2" t="s">
        <v>10</v>
      </c>
      <c r="D52" s="3" t="s">
        <v>100</v>
      </c>
      <c r="E52" s="4">
        <v>50.76</v>
      </c>
      <c r="F52" s="4">
        <v>15.35</v>
      </c>
      <c r="G52" s="3" t="s">
        <v>32</v>
      </c>
    </row>
    <row r="53" spans="1:8">
      <c r="A53" s="5" t="s">
        <v>108</v>
      </c>
      <c r="B53" s="5" t="s">
        <v>109</v>
      </c>
      <c r="C53" s="5" t="s">
        <v>13</v>
      </c>
      <c r="D53" s="6" t="s">
        <v>110</v>
      </c>
      <c r="E53" s="7">
        <v>5.18</v>
      </c>
      <c r="F53" s="7">
        <v>1.57</v>
      </c>
      <c r="G53" s="6" t="s">
        <v>111</v>
      </c>
    </row>
    <row r="54" spans="1:8">
      <c r="A54" s="2" t="s">
        <v>108</v>
      </c>
      <c r="B54" s="2" t="s">
        <v>109</v>
      </c>
      <c r="C54" s="2" t="s">
        <v>16</v>
      </c>
      <c r="D54" s="3" t="s">
        <v>103</v>
      </c>
      <c r="E54" s="4">
        <v>49.33</v>
      </c>
      <c r="F54" s="4">
        <v>14.92</v>
      </c>
      <c r="G54" s="3" t="s">
        <v>48</v>
      </c>
    </row>
    <row r="55" spans="1:8">
      <c r="A55" s="2" t="s">
        <v>108</v>
      </c>
      <c r="B55" s="2" t="s">
        <v>109</v>
      </c>
      <c r="C55" s="2" t="s">
        <v>19</v>
      </c>
      <c r="D55" s="3" t="s">
        <v>103</v>
      </c>
      <c r="E55" s="4">
        <v>49.33</v>
      </c>
      <c r="F55" s="4">
        <v>14.92</v>
      </c>
      <c r="G55" s="3" t="s">
        <v>48</v>
      </c>
    </row>
    <row r="56" spans="1:8">
      <c r="A56" s="8" t="s">
        <v>108</v>
      </c>
      <c r="B56" s="8" t="s">
        <v>109</v>
      </c>
      <c r="C56" s="8" t="s">
        <v>21</v>
      </c>
      <c r="D56" s="9" t="s">
        <v>93</v>
      </c>
      <c r="E56" s="10">
        <v>44.2</v>
      </c>
      <c r="F56" s="10">
        <v>13.37</v>
      </c>
      <c r="G56" s="9" t="s">
        <v>112</v>
      </c>
    </row>
    <row r="57" spans="1:8">
      <c r="A57" s="11" t="s">
        <v>113</v>
      </c>
      <c r="B57" s="11" t="s">
        <v>114</v>
      </c>
      <c r="C57" s="11" t="s">
        <v>26</v>
      </c>
      <c r="D57" s="12" t="s">
        <v>27</v>
      </c>
      <c r="E57" s="13">
        <v>198.8</v>
      </c>
      <c r="F57" s="13">
        <v>60.13</v>
      </c>
      <c r="G57" s="12" t="s">
        <v>115</v>
      </c>
    </row>
    <row r="58" spans="1:8">
      <c r="A58" s="2" t="s">
        <v>116</v>
      </c>
      <c r="B58" s="2" t="s">
        <v>117</v>
      </c>
      <c r="C58" s="2" t="s">
        <v>10</v>
      </c>
      <c r="D58" s="3" t="s">
        <v>100</v>
      </c>
      <c r="E58" s="4">
        <v>50.76</v>
      </c>
      <c r="F58" s="4">
        <v>15.35</v>
      </c>
      <c r="G58" s="3" t="s">
        <v>32</v>
      </c>
    </row>
    <row r="59" spans="1:8">
      <c r="A59" s="5" t="s">
        <v>116</v>
      </c>
      <c r="B59" s="5" t="s">
        <v>117</v>
      </c>
      <c r="C59" s="5" t="s">
        <v>13</v>
      </c>
      <c r="D59" s="6" t="s">
        <v>118</v>
      </c>
      <c r="E59" s="7">
        <v>3.06</v>
      </c>
      <c r="F59" s="7">
        <v>0.93</v>
      </c>
      <c r="G59" s="6" t="s">
        <v>119</v>
      </c>
    </row>
    <row r="60" spans="1:8">
      <c r="A60" s="2" t="s">
        <v>116</v>
      </c>
      <c r="B60" s="2" t="s">
        <v>117</v>
      </c>
      <c r="C60" s="2" t="s">
        <v>16</v>
      </c>
      <c r="D60" s="3" t="s">
        <v>103</v>
      </c>
      <c r="E60" s="4">
        <v>49.33</v>
      </c>
      <c r="F60" s="4">
        <v>14.92</v>
      </c>
      <c r="G60" s="3" t="s">
        <v>48</v>
      </c>
    </row>
    <row r="61" spans="1:8">
      <c r="A61" s="2" t="s">
        <v>116</v>
      </c>
      <c r="B61" s="2" t="s">
        <v>117</v>
      </c>
      <c r="C61" s="2" t="s">
        <v>19</v>
      </c>
      <c r="D61" s="3" t="s">
        <v>103</v>
      </c>
      <c r="E61" s="4">
        <v>49.33</v>
      </c>
      <c r="F61" s="4">
        <v>14.92</v>
      </c>
      <c r="G61" s="3">
        <v>0.93</v>
      </c>
      <c r="H61" s="3" t="s">
        <v>48</v>
      </c>
    </row>
    <row r="62" spans="1:8">
      <c r="A62" s="8" t="s">
        <v>116</v>
      </c>
      <c r="B62" s="8" t="s">
        <v>117</v>
      </c>
      <c r="C62" s="8" t="s">
        <v>21</v>
      </c>
      <c r="D62" s="9" t="s">
        <v>93</v>
      </c>
      <c r="E62" s="10">
        <v>44.2</v>
      </c>
      <c r="F62" s="10">
        <v>13.37</v>
      </c>
      <c r="G62" s="9" t="s">
        <v>120</v>
      </c>
    </row>
    <row r="63" spans="1:8">
      <c r="A63" s="11" t="s">
        <v>121</v>
      </c>
      <c r="B63" s="11" t="s">
        <v>122</v>
      </c>
      <c r="C63" s="11" t="s">
        <v>26</v>
      </c>
      <c r="D63" s="12" t="s">
        <v>27</v>
      </c>
      <c r="E63" s="13">
        <v>196.68</v>
      </c>
      <c r="F63" s="13">
        <v>59.49</v>
      </c>
      <c r="G63" s="12" t="s">
        <v>123</v>
      </c>
    </row>
    <row r="64" spans="1:8">
      <c r="A64" s="2" t="s">
        <v>124</v>
      </c>
      <c r="B64" s="2" t="s">
        <v>125</v>
      </c>
      <c r="C64" s="2" t="s">
        <v>10</v>
      </c>
      <c r="D64" s="3" t="s">
        <v>126</v>
      </c>
      <c r="E64" s="4">
        <v>50.75</v>
      </c>
      <c r="F64" s="4">
        <v>15.35</v>
      </c>
      <c r="G64" s="3" t="s">
        <v>127</v>
      </c>
    </row>
    <row r="65" spans="1:7">
      <c r="A65" s="5" t="s">
        <v>124</v>
      </c>
      <c r="B65" s="5" t="s">
        <v>125</v>
      </c>
      <c r="C65" s="5" t="s">
        <v>128</v>
      </c>
      <c r="D65" s="6" t="s">
        <v>129</v>
      </c>
      <c r="E65" s="7">
        <v>2.2200000000000002</v>
      </c>
      <c r="F65" s="7">
        <v>0.67</v>
      </c>
      <c r="G65" s="6" t="s">
        <v>130</v>
      </c>
    </row>
    <row r="66" spans="1:7">
      <c r="A66" s="2" t="s">
        <v>124</v>
      </c>
      <c r="B66" s="2" t="s">
        <v>125</v>
      </c>
      <c r="C66" s="2" t="s">
        <v>16</v>
      </c>
      <c r="D66" s="3" t="s">
        <v>131</v>
      </c>
      <c r="E66" s="4">
        <v>55.79</v>
      </c>
      <c r="F66" s="4">
        <v>16.87</v>
      </c>
      <c r="G66" s="3" t="s">
        <v>132</v>
      </c>
    </row>
    <row r="67" spans="1:7">
      <c r="A67" s="2" t="s">
        <v>124</v>
      </c>
      <c r="B67" s="2" t="s">
        <v>125</v>
      </c>
      <c r="C67" s="2" t="s">
        <v>19</v>
      </c>
      <c r="D67" s="3" t="s">
        <v>131</v>
      </c>
      <c r="E67" s="4">
        <v>55.79</v>
      </c>
      <c r="F67" s="4">
        <v>16.87</v>
      </c>
      <c r="G67" s="3" t="s">
        <v>133</v>
      </c>
    </row>
    <row r="68" spans="1:7">
      <c r="A68" s="8" t="s">
        <v>124</v>
      </c>
      <c r="B68" s="8" t="s">
        <v>125</v>
      </c>
      <c r="C68" s="8" t="s">
        <v>21</v>
      </c>
      <c r="D68" s="9" t="s">
        <v>134</v>
      </c>
      <c r="E68" s="10">
        <v>50.7</v>
      </c>
      <c r="F68" s="10">
        <v>15.34</v>
      </c>
      <c r="G68" s="9" t="s">
        <v>135</v>
      </c>
    </row>
    <row r="69" spans="1:7">
      <c r="A69" s="11" t="s">
        <v>136</v>
      </c>
      <c r="B69" s="11" t="s">
        <v>137</v>
      </c>
      <c r="C69" s="11" t="s">
        <v>138</v>
      </c>
      <c r="D69" s="12" t="s">
        <v>139</v>
      </c>
      <c r="E69" s="13">
        <v>215.25</v>
      </c>
      <c r="F69" s="13">
        <v>65.099999999999994</v>
      </c>
      <c r="G69" s="12" t="s">
        <v>140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defaultRowHeight="14.5"/>
  <cols>
    <col min="1" max="1" width="64.5" customWidth="1"/>
    <col min="2" max="2" width="13.5" customWidth="1"/>
    <col min="3" max="6" width="21" customWidth="1"/>
    <col min="7" max="7" width="30" customWidth="1"/>
    <col min="8" max="9" width="21" customWidth="1"/>
  </cols>
  <sheetData>
    <row r="1" spans="1:9" ht="18.5">
      <c r="A1" s="16" t="s">
        <v>141</v>
      </c>
      <c r="B1" s="17"/>
      <c r="C1" s="17"/>
      <c r="D1" s="17"/>
      <c r="E1" s="17"/>
      <c r="F1" s="17"/>
      <c r="G1" s="17"/>
      <c r="H1" s="17"/>
      <c r="I1" s="17"/>
    </row>
    <row r="3" spans="1:9">
      <c r="A3" s="1" t="s">
        <v>142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147</v>
      </c>
      <c r="G3" s="1" t="s">
        <v>148</v>
      </c>
      <c r="H3" s="1" t="s">
        <v>149</v>
      </c>
      <c r="I3" s="1" t="s">
        <v>150</v>
      </c>
    </row>
    <row r="4" spans="1:9">
      <c r="A4" s="2" t="s">
        <v>9</v>
      </c>
      <c r="B4" s="2" t="s">
        <v>151</v>
      </c>
      <c r="C4" s="4">
        <v>20.5</v>
      </c>
      <c r="D4" s="4">
        <v>6.53</v>
      </c>
      <c r="E4" s="4">
        <v>18.05</v>
      </c>
      <c r="F4" s="4">
        <v>18.05</v>
      </c>
      <c r="G4" s="4">
        <v>16.399999999999999</v>
      </c>
      <c r="H4" s="4">
        <v>79.53</v>
      </c>
      <c r="I4" s="4">
        <v>262.88</v>
      </c>
    </row>
    <row r="5" spans="1:9">
      <c r="A5" s="2" t="s">
        <v>30</v>
      </c>
      <c r="B5" s="2" t="s">
        <v>151</v>
      </c>
      <c r="C5" s="4">
        <v>20.5</v>
      </c>
      <c r="D5" s="4">
        <v>7.39</v>
      </c>
      <c r="E5" s="4">
        <v>18.05</v>
      </c>
      <c r="F5" s="4">
        <v>18.05</v>
      </c>
      <c r="G5" s="4">
        <v>16.399999999999999</v>
      </c>
      <c r="H5" s="4">
        <v>80.39</v>
      </c>
      <c r="I5" s="4">
        <v>265.74</v>
      </c>
    </row>
    <row r="6" spans="1:9">
      <c r="A6" s="2" t="s">
        <v>44</v>
      </c>
      <c r="B6" s="2" t="s">
        <v>151</v>
      </c>
      <c r="C6" s="4">
        <v>20.5</v>
      </c>
      <c r="D6" s="4">
        <v>8.24</v>
      </c>
      <c r="E6" s="4">
        <v>18.05</v>
      </c>
      <c r="F6" s="4">
        <v>18.05</v>
      </c>
      <c r="G6" s="4">
        <v>16.399999999999999</v>
      </c>
      <c r="H6" s="4">
        <v>81.239999999999995</v>
      </c>
      <c r="I6" s="4">
        <v>268.55</v>
      </c>
    </row>
    <row r="7" spans="1:9">
      <c r="A7" s="2" t="s">
        <v>54</v>
      </c>
      <c r="B7" s="2" t="s">
        <v>152</v>
      </c>
      <c r="C7" s="4">
        <v>15.25</v>
      </c>
      <c r="D7" s="4">
        <v>4.47</v>
      </c>
      <c r="E7" s="4">
        <v>14.66</v>
      </c>
      <c r="F7" s="4">
        <v>14.66</v>
      </c>
      <c r="G7" s="4">
        <v>13.13</v>
      </c>
      <c r="H7" s="4">
        <v>62.17</v>
      </c>
      <c r="I7" s="4">
        <v>205.51</v>
      </c>
    </row>
    <row r="8" spans="1:9">
      <c r="A8" s="2" t="s">
        <v>67</v>
      </c>
      <c r="B8" s="2" t="s">
        <v>152</v>
      </c>
      <c r="C8" s="4">
        <v>15.25</v>
      </c>
      <c r="D8" s="4">
        <v>3.91</v>
      </c>
      <c r="E8" s="4">
        <v>14.66</v>
      </c>
      <c r="F8" s="4">
        <v>14.66</v>
      </c>
      <c r="G8" s="4">
        <v>13.13</v>
      </c>
      <c r="H8" s="4">
        <v>61.61</v>
      </c>
      <c r="I8" s="4">
        <v>203.67</v>
      </c>
    </row>
    <row r="9" spans="1:9">
      <c r="A9" s="2" t="s">
        <v>77</v>
      </c>
      <c r="B9" s="2" t="s">
        <v>152</v>
      </c>
      <c r="C9" s="4">
        <v>15.25</v>
      </c>
      <c r="D9" s="4">
        <v>3.36</v>
      </c>
      <c r="E9" s="4">
        <v>14.66</v>
      </c>
      <c r="F9" s="4">
        <v>14.66</v>
      </c>
      <c r="G9" s="4">
        <v>13.13</v>
      </c>
      <c r="H9" s="4">
        <v>61.06</v>
      </c>
      <c r="I9" s="4">
        <v>201.85</v>
      </c>
    </row>
    <row r="10" spans="1:9">
      <c r="A10" s="2" t="s">
        <v>85</v>
      </c>
      <c r="B10" s="2" t="s">
        <v>153</v>
      </c>
      <c r="C10" s="4">
        <v>15.35</v>
      </c>
      <c r="D10" s="4">
        <v>2.71</v>
      </c>
      <c r="E10" s="4">
        <v>14.92</v>
      </c>
      <c r="F10" s="4">
        <v>14.92</v>
      </c>
      <c r="G10" s="4">
        <v>13.37</v>
      </c>
      <c r="H10" s="4">
        <v>61.27</v>
      </c>
      <c r="I10" s="4">
        <v>202.59</v>
      </c>
    </row>
    <row r="11" spans="1:9">
      <c r="A11" s="2" t="s">
        <v>99</v>
      </c>
      <c r="B11" s="2" t="s">
        <v>153</v>
      </c>
      <c r="C11" s="4">
        <v>15.35</v>
      </c>
      <c r="D11" s="4">
        <v>2.2000000000000002</v>
      </c>
      <c r="E11" s="4">
        <v>14.92</v>
      </c>
      <c r="F11" s="4">
        <v>14.92</v>
      </c>
      <c r="G11" s="4">
        <v>13.37</v>
      </c>
      <c r="H11" s="4">
        <v>60.76</v>
      </c>
      <c r="I11" s="4">
        <v>200.9</v>
      </c>
    </row>
    <row r="12" spans="1:9">
      <c r="A12" s="2" t="s">
        <v>109</v>
      </c>
      <c r="B12" s="2" t="s">
        <v>153</v>
      </c>
      <c r="C12" s="4">
        <v>15.35</v>
      </c>
      <c r="D12" s="4">
        <v>1.57</v>
      </c>
      <c r="E12" s="4">
        <v>14.92</v>
      </c>
      <c r="F12" s="4">
        <v>14.92</v>
      </c>
      <c r="G12" s="4">
        <v>13.37</v>
      </c>
      <c r="H12" s="4">
        <v>60.13</v>
      </c>
      <c r="I12" s="4">
        <v>198.8</v>
      </c>
    </row>
    <row r="13" spans="1:9">
      <c r="A13" s="2" t="s">
        <v>117</v>
      </c>
      <c r="B13" s="2" t="s">
        <v>153</v>
      </c>
      <c r="C13" s="4">
        <v>15.35</v>
      </c>
      <c r="D13" s="4">
        <v>0.93</v>
      </c>
      <c r="E13" s="4">
        <v>14.92</v>
      </c>
      <c r="F13" s="4">
        <v>14.92</v>
      </c>
      <c r="G13" s="4">
        <v>13.37</v>
      </c>
      <c r="H13" s="4">
        <v>59.49</v>
      </c>
      <c r="I13" s="4">
        <v>196.68</v>
      </c>
    </row>
    <row r="14" spans="1:9">
      <c r="A14" s="2" t="s">
        <v>125</v>
      </c>
      <c r="B14" s="2" t="s">
        <v>154</v>
      </c>
      <c r="C14" s="4">
        <v>15.35</v>
      </c>
      <c r="D14" s="4">
        <v>0.67</v>
      </c>
      <c r="E14" s="4">
        <v>16.87</v>
      </c>
      <c r="F14" s="4">
        <v>16.87</v>
      </c>
      <c r="G14" s="4">
        <v>15.34</v>
      </c>
      <c r="H14" s="4">
        <v>65.099999999999994</v>
      </c>
      <c r="I14" s="4">
        <v>215.25</v>
      </c>
    </row>
    <row r="15" spans="1:9">
      <c r="A15" s="14" t="s">
        <v>155</v>
      </c>
      <c r="B15" s="14" t="s">
        <v>156</v>
      </c>
      <c r="C15" s="15">
        <f t="shared" ref="C15:I15" si="0">SUM(C4:C14)</f>
        <v>183.99999999999997</v>
      </c>
      <c r="D15" s="15">
        <f t="shared" si="0"/>
        <v>41.980000000000004</v>
      </c>
      <c r="E15" s="15">
        <f t="shared" si="0"/>
        <v>174.67999999999998</v>
      </c>
      <c r="F15" s="15">
        <f t="shared" si="0"/>
        <v>174.67999999999998</v>
      </c>
      <c r="G15" s="15">
        <f t="shared" si="0"/>
        <v>157.41</v>
      </c>
      <c r="H15" s="15">
        <f t="shared" si="0"/>
        <v>732.75000000000011</v>
      </c>
      <c r="I15" s="15">
        <f t="shared" si="0"/>
        <v>2422.42</v>
      </c>
    </row>
  </sheetData>
  <mergeCells count="1">
    <mergeCell ref="A1:I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5"/>
  <cols>
    <col min="1" max="1" width="33" customWidth="1"/>
    <col min="2" max="2" width="58.5" customWidth="1"/>
    <col min="3" max="3" width="22.5" customWidth="1"/>
    <col min="4" max="4" width="37.5" customWidth="1"/>
    <col min="5" max="5" width="67.5" customWidth="1"/>
    <col min="6" max="6" width="34.5" customWidth="1"/>
  </cols>
  <sheetData>
    <row r="1" spans="1:6" ht="18.5">
      <c r="A1" s="16" t="s">
        <v>157</v>
      </c>
      <c r="B1" s="17"/>
      <c r="C1" s="17"/>
      <c r="D1" s="17"/>
      <c r="E1" s="17"/>
      <c r="F1" s="17"/>
    </row>
    <row r="3" spans="1:6">
      <c r="A3" s="1" t="s">
        <v>158</v>
      </c>
      <c r="B3" s="1" t="s">
        <v>159</v>
      </c>
      <c r="C3" s="1" t="s">
        <v>160</v>
      </c>
      <c r="D3" s="1" t="s">
        <v>161</v>
      </c>
      <c r="E3" s="1" t="s">
        <v>162</v>
      </c>
      <c r="F3" s="1" t="s">
        <v>163</v>
      </c>
    </row>
    <row r="4" spans="1:6">
      <c r="A4" s="2" t="s">
        <v>164</v>
      </c>
      <c r="B4" s="3" t="s">
        <v>165</v>
      </c>
      <c r="C4" s="2" t="s">
        <v>166</v>
      </c>
      <c r="D4" s="3" t="s">
        <v>167</v>
      </c>
      <c r="E4" s="3" t="s">
        <v>168</v>
      </c>
      <c r="F4" s="3" t="s">
        <v>169</v>
      </c>
    </row>
    <row r="5" spans="1:6">
      <c r="A5" s="2" t="s">
        <v>170</v>
      </c>
      <c r="B5" s="3" t="s">
        <v>171</v>
      </c>
      <c r="C5" s="2" t="s">
        <v>166</v>
      </c>
      <c r="D5" s="3" t="s">
        <v>172</v>
      </c>
      <c r="E5" s="3" t="s">
        <v>173</v>
      </c>
      <c r="F5" s="3" t="s">
        <v>174</v>
      </c>
    </row>
    <row r="6" spans="1:6">
      <c r="A6" s="2" t="s">
        <v>175</v>
      </c>
      <c r="B6" s="3" t="s">
        <v>176</v>
      </c>
      <c r="C6" s="2" t="s">
        <v>166</v>
      </c>
      <c r="D6" s="3" t="s">
        <v>177</v>
      </c>
      <c r="E6" s="3" t="s">
        <v>178</v>
      </c>
      <c r="F6" s="3" t="s">
        <v>179</v>
      </c>
    </row>
    <row r="7" spans="1:6">
      <c r="A7" s="2" t="s">
        <v>180</v>
      </c>
      <c r="B7" s="3" t="s">
        <v>181</v>
      </c>
      <c r="C7" s="2" t="s">
        <v>182</v>
      </c>
      <c r="D7" s="3" t="s">
        <v>183</v>
      </c>
      <c r="E7" s="3" t="s">
        <v>184</v>
      </c>
      <c r="F7" s="3" t="s">
        <v>185</v>
      </c>
    </row>
    <row r="8" spans="1:6">
      <c r="A8" s="2" t="s">
        <v>186</v>
      </c>
      <c r="B8" s="3" t="s">
        <v>187</v>
      </c>
      <c r="C8" s="2" t="s">
        <v>188</v>
      </c>
      <c r="D8" s="3" t="s">
        <v>189</v>
      </c>
      <c r="E8" s="3" t="s">
        <v>190</v>
      </c>
      <c r="F8" s="3" t="s">
        <v>191</v>
      </c>
    </row>
    <row r="9" spans="1:6">
      <c r="A9" s="2" t="s">
        <v>192</v>
      </c>
      <c r="B9" s="3" t="s">
        <v>193</v>
      </c>
      <c r="C9" s="2" t="s">
        <v>194</v>
      </c>
      <c r="D9" s="3" t="s">
        <v>195</v>
      </c>
      <c r="E9" s="3" t="s">
        <v>196</v>
      </c>
      <c r="F9" s="3" t="s">
        <v>197</v>
      </c>
    </row>
    <row r="10" spans="1:6">
      <c r="A10" s="2" t="s">
        <v>198</v>
      </c>
      <c r="B10" s="3" t="s">
        <v>199</v>
      </c>
      <c r="C10" s="2" t="s">
        <v>200</v>
      </c>
      <c r="D10" s="3" t="s">
        <v>201</v>
      </c>
      <c r="E10" s="3" t="s">
        <v>202</v>
      </c>
      <c r="F10" s="3" t="s">
        <v>203</v>
      </c>
    </row>
  </sheetData>
  <mergeCells count="1">
    <mergeCell ref="A1:F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各戶型樓層面積明細</vt:lpstr>
      <vt:lpstr>全區11棟總清冊</vt:lpstr>
      <vt:lpstr>粗清工程作業評估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GD30CI</cp:lastModifiedBy>
  <dcterms:created xsi:type="dcterms:W3CDTF">2026-10-27T08:41:28Z</dcterms:created>
  <dcterms:modified xsi:type="dcterms:W3CDTF">2026-10-27T08:54:40Z</dcterms:modified>
</cp:coreProperties>
</file>